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epos\MCHP-Hackathon-2025\"/>
    </mc:Choice>
  </mc:AlternateContent>
  <xr:revisionPtr revIDLastSave="0" documentId="8_{18844A11-5D11-4663-89AB-3FABF12FEC95}" xr6:coauthVersionLast="47" xr6:coauthVersionMax="47" xr10:uidLastSave="{00000000-0000-0000-0000-000000000000}"/>
  <bookViews>
    <workbookView xWindow="-96" yWindow="-96" windowWidth="23232" windowHeight="12432" xr2:uid="{C71F76B3-81E3-466C-A458-7BAF6A6FD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18" i="1"/>
  <c r="B26" i="1" s="1"/>
  <c r="B28" i="1"/>
  <c r="B12" i="1"/>
  <c r="B10" i="1"/>
  <c r="B13" i="1" s="1"/>
  <c r="B7" i="1"/>
  <c r="B25" i="1" s="1"/>
  <c r="B4" i="1"/>
</calcChain>
</file>

<file path=xl/sharedStrings.xml><?xml version="1.0" encoding="utf-8"?>
<sst xmlns="http://schemas.openxmlformats.org/spreadsheetml/2006/main" count="40" uniqueCount="26">
  <si>
    <t>Typical</t>
  </si>
  <si>
    <t>Volts per cell</t>
  </si>
  <si>
    <t>Nominal</t>
  </si>
  <si>
    <t>Volts</t>
  </si>
  <si>
    <t>Add headroom 10%</t>
  </si>
  <si>
    <t>Dropout voltage</t>
  </si>
  <si>
    <t>LiPo Battery 2S1P</t>
  </si>
  <si>
    <t>Dropout voltage (w/ 10% headroom)</t>
  </si>
  <si>
    <t>Minimum LiPo battery voltage</t>
  </si>
  <si>
    <t>Voltage divider</t>
  </si>
  <si>
    <t>R1</t>
  </si>
  <si>
    <t>R2</t>
  </si>
  <si>
    <r>
      <t>22k</t>
    </r>
    <r>
      <rPr>
        <sz val="11"/>
        <color theme="1"/>
        <rFont val="Aptos Narrow"/>
        <family val="2"/>
      </rPr>
      <t>Ω</t>
    </r>
  </si>
  <si>
    <r>
      <t>10k</t>
    </r>
    <r>
      <rPr>
        <sz val="11"/>
        <color theme="1"/>
        <rFont val="Aptos Narrow"/>
        <family val="2"/>
      </rPr>
      <t>Ω</t>
    </r>
  </si>
  <si>
    <t>Fully charged battery (8.4V)  - ADC input</t>
  </si>
  <si>
    <t>Minimum battery voltage (7.2V) - ADC input</t>
  </si>
  <si>
    <t>12 bit ADC (0-4095) VREF</t>
  </si>
  <si>
    <t>ADC Count</t>
  </si>
  <si>
    <t>ADC Counts</t>
  </si>
  <si>
    <t>Range from cutoff to fully chargerd</t>
  </si>
  <si>
    <t>5V Regulator 78T05 output</t>
  </si>
  <si>
    <t>Fully Charged maximum battery voltage</t>
  </si>
  <si>
    <t>Minimum safe discharge battery voltage</t>
  </si>
  <si>
    <r>
      <t xml:space="preserve">&lt;- This is the lowest </t>
    </r>
    <r>
      <rPr>
        <b/>
        <sz val="11"/>
        <color theme="1"/>
        <rFont val="Aptos Narrow"/>
        <family val="2"/>
        <scheme val="minor"/>
      </rPr>
      <t>possible</t>
    </r>
    <r>
      <rPr>
        <sz val="11"/>
        <color theme="1"/>
        <rFont val="Aptos Narrow"/>
        <family val="2"/>
        <scheme val="minor"/>
      </rPr>
      <t xml:space="preserve"> voltage</t>
    </r>
  </si>
  <si>
    <r>
      <t xml:space="preserve">&lt;- This is the lowest </t>
    </r>
    <r>
      <rPr>
        <b/>
        <sz val="11"/>
        <color theme="1"/>
        <rFont val="Aptos Narrow"/>
        <family val="2"/>
        <scheme val="minor"/>
      </rPr>
      <t>usable</t>
    </r>
    <r>
      <rPr>
        <sz val="11"/>
        <color theme="1"/>
        <rFont val="Aptos Narrow"/>
        <family val="2"/>
        <scheme val="minor"/>
      </rPr>
      <t xml:space="preserve"> voltage</t>
    </r>
  </si>
  <si>
    <t>ADC Input voltage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</si>
</sst>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4E10-8E14-4176-B890-2D37772F9F7F}">
  <dimension ref="A1:D29"/>
  <sheetViews>
    <sheetView tabSelected="1" topLeftCell="A22" workbookViewId="0">
      <selection activeCell="A31" sqref="A31"/>
    </sheetView>
  </sheetViews>
  <sheetFormatPr defaultRowHeight="15" x14ac:dyDescent="0.25"/>
  <cols>
    <col min="1" max="1" width="39.28515625" bestFit="1" customWidth="1"/>
    <col min="2" max="2" width="7.28515625" bestFit="1" customWidth="1"/>
    <col min="3" max="3" width="12.28515625" bestFit="1" customWidth="1"/>
  </cols>
  <sheetData>
    <row r="1" spans="1:4" x14ac:dyDescent="0.25">
      <c r="A1" s="1" t="s">
        <v>6</v>
      </c>
    </row>
    <row r="2" spans="1:4" x14ac:dyDescent="0.25">
      <c r="B2" t="s">
        <v>0</v>
      </c>
    </row>
    <row r="3" spans="1:4" x14ac:dyDescent="0.25">
      <c r="A3" t="s">
        <v>2</v>
      </c>
      <c r="B3" s="2">
        <v>3.7</v>
      </c>
      <c r="C3" s="2" t="s">
        <v>1</v>
      </c>
      <c r="D3" s="2"/>
    </row>
    <row r="4" spans="1:4" x14ac:dyDescent="0.25">
      <c r="B4" s="2">
        <f>B3*2</f>
        <v>7.4</v>
      </c>
      <c r="C4" s="2" t="s">
        <v>3</v>
      </c>
      <c r="D4" s="2"/>
    </row>
    <row r="5" spans="1:4" x14ac:dyDescent="0.25">
      <c r="B5" s="2"/>
      <c r="C5" s="2"/>
      <c r="D5" s="2"/>
    </row>
    <row r="6" spans="1:4" x14ac:dyDescent="0.25">
      <c r="A6" t="s">
        <v>21</v>
      </c>
      <c r="B6" s="2">
        <v>4.2</v>
      </c>
      <c r="C6" s="2" t="s">
        <v>1</v>
      </c>
      <c r="D6" s="2"/>
    </row>
    <row r="7" spans="1:4" x14ac:dyDescent="0.25">
      <c r="B7" s="3">
        <f>B6*2</f>
        <v>8.4</v>
      </c>
      <c r="C7" s="3" t="s">
        <v>3</v>
      </c>
      <c r="D7" s="2"/>
    </row>
    <row r="8" spans="1:4" x14ac:dyDescent="0.25">
      <c r="B8" s="2"/>
      <c r="C8" s="2"/>
      <c r="D8" s="2"/>
    </row>
    <row r="9" spans="1:4" x14ac:dyDescent="0.25">
      <c r="A9" t="s">
        <v>22</v>
      </c>
      <c r="B9" s="2">
        <v>3</v>
      </c>
      <c r="C9" s="2" t="s">
        <v>1</v>
      </c>
      <c r="D9" s="2"/>
    </row>
    <row r="10" spans="1:4" x14ac:dyDescent="0.25">
      <c r="B10" s="2">
        <f>B9*2</f>
        <v>6</v>
      </c>
      <c r="C10" s="2" t="s">
        <v>3</v>
      </c>
      <c r="D10" s="2"/>
    </row>
    <row r="11" spans="1:4" x14ac:dyDescent="0.25">
      <c r="B11" s="2"/>
      <c r="C11" s="2"/>
      <c r="D11" s="2"/>
    </row>
    <row r="12" spans="1:4" x14ac:dyDescent="0.25">
      <c r="A12" t="s">
        <v>4</v>
      </c>
      <c r="B12" s="2">
        <f>B9*1.1</f>
        <v>3.3000000000000003</v>
      </c>
      <c r="C12" s="2" t="s">
        <v>1</v>
      </c>
      <c r="D12" s="2"/>
    </row>
    <row r="13" spans="1:4" x14ac:dyDescent="0.25">
      <c r="B13" s="2">
        <f>B10*1.1</f>
        <v>6.6000000000000005</v>
      </c>
      <c r="C13" s="2" t="s">
        <v>3</v>
      </c>
      <c r="D13" s="4" t="s">
        <v>23</v>
      </c>
    </row>
    <row r="14" spans="1:4" x14ac:dyDescent="0.25">
      <c r="B14" s="2"/>
      <c r="C14" s="2"/>
      <c r="D14" s="2"/>
    </row>
    <row r="15" spans="1:4" x14ac:dyDescent="0.25">
      <c r="A15" t="s">
        <v>20</v>
      </c>
      <c r="B15" s="2">
        <v>5</v>
      </c>
      <c r="C15" s="2" t="s">
        <v>3</v>
      </c>
      <c r="D15" s="2"/>
    </row>
    <row r="16" spans="1:4" x14ac:dyDescent="0.25">
      <c r="A16" t="s">
        <v>5</v>
      </c>
      <c r="B16" s="2">
        <v>2</v>
      </c>
      <c r="C16" s="2" t="s">
        <v>3</v>
      </c>
      <c r="D16" s="2"/>
    </row>
    <row r="17" spans="1:4" x14ac:dyDescent="0.25">
      <c r="A17" t="s">
        <v>7</v>
      </c>
      <c r="B17" s="2">
        <v>2.2000000000000002</v>
      </c>
      <c r="C17" s="2" t="s">
        <v>3</v>
      </c>
      <c r="D17" s="2"/>
    </row>
    <row r="18" spans="1:4" x14ac:dyDescent="0.25">
      <c r="A18" t="s">
        <v>8</v>
      </c>
      <c r="B18" s="3">
        <f>B15+B17</f>
        <v>7.2</v>
      </c>
      <c r="C18" s="3" t="s">
        <v>3</v>
      </c>
      <c r="D18" s="4" t="s">
        <v>24</v>
      </c>
    </row>
    <row r="19" spans="1:4" x14ac:dyDescent="0.25">
      <c r="B19" s="2"/>
      <c r="C19" s="2"/>
      <c r="D19" s="2"/>
    </row>
    <row r="20" spans="1:4" x14ac:dyDescent="0.25">
      <c r="A20" t="s">
        <v>9</v>
      </c>
      <c r="B20" s="2" t="s">
        <v>10</v>
      </c>
      <c r="C20" s="2" t="s">
        <v>12</v>
      </c>
      <c r="D20" s="2">
        <v>22000</v>
      </c>
    </row>
    <row r="21" spans="1:4" x14ac:dyDescent="0.25">
      <c r="B21" s="2" t="s">
        <v>11</v>
      </c>
      <c r="C21" s="2" t="s">
        <v>13</v>
      </c>
      <c r="D21" s="2">
        <v>10000</v>
      </c>
    </row>
    <row r="22" spans="1:4" x14ac:dyDescent="0.25">
      <c r="B22" s="2"/>
      <c r="C22" s="2"/>
      <c r="D22" s="2"/>
    </row>
    <row r="23" spans="1:4" x14ac:dyDescent="0.25">
      <c r="B23" s="2"/>
      <c r="C23" s="2"/>
      <c r="D23" s="2" t="s">
        <v>17</v>
      </c>
    </row>
    <row r="24" spans="1:4" x14ac:dyDescent="0.25">
      <c r="A24" t="s">
        <v>16</v>
      </c>
      <c r="B24" s="2">
        <v>3.3</v>
      </c>
      <c r="C24" s="2" t="s">
        <v>3</v>
      </c>
      <c r="D24" s="2">
        <v>4095</v>
      </c>
    </row>
    <row r="25" spans="1:4" x14ac:dyDescent="0.25">
      <c r="A25" t="s">
        <v>14</v>
      </c>
      <c r="B25" s="2">
        <f>B7*(D21/(D20+D21))</f>
        <v>2.625</v>
      </c>
      <c r="C25" s="3" t="s">
        <v>3</v>
      </c>
      <c r="D25" s="2">
        <v>3257</v>
      </c>
    </row>
    <row r="26" spans="1:4" x14ac:dyDescent="0.25">
      <c r="A26" t="s">
        <v>15</v>
      </c>
      <c r="B26" s="2">
        <f>B18*(D21/(D20+D21))</f>
        <v>2.25</v>
      </c>
      <c r="C26" s="2" t="s">
        <v>3</v>
      </c>
      <c r="D26" s="2">
        <v>2792</v>
      </c>
    </row>
    <row r="27" spans="1:4" x14ac:dyDescent="0.25">
      <c r="B27" s="2"/>
      <c r="C27" s="2"/>
      <c r="D27" s="2"/>
    </row>
    <row r="28" spans="1:4" x14ac:dyDescent="0.25">
      <c r="A28" t="s">
        <v>19</v>
      </c>
      <c r="B28" s="2">
        <f>D25-D26</f>
        <v>465</v>
      </c>
      <c r="C28" s="2" t="s">
        <v>18</v>
      </c>
      <c r="D28" s="2"/>
    </row>
    <row r="29" spans="1:4" x14ac:dyDescent="0.25">
      <c r="A29" t="s">
        <v>25</v>
      </c>
      <c r="B29" s="2">
        <f>B25-B26</f>
        <v>0.375</v>
      </c>
      <c r="C29" s="2" t="s">
        <v>3</v>
      </c>
      <c r="D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Satchell - C52467</dc:creator>
  <cp:lastModifiedBy>Ross Satchell - C52467</cp:lastModifiedBy>
  <dcterms:created xsi:type="dcterms:W3CDTF">2026-02-12T16:39:02Z</dcterms:created>
  <dcterms:modified xsi:type="dcterms:W3CDTF">2026-02-13T16:29:03Z</dcterms:modified>
</cp:coreProperties>
</file>